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lenovo\Downloads\"/>
    </mc:Choice>
  </mc:AlternateContent>
  <xr:revisionPtr revIDLastSave="0" documentId="13_ncr:1_{4C5F00FC-912F-4CD8-A969-C0DB1A9E343E}" xr6:coauthVersionLast="47" xr6:coauthVersionMax="47" xr10:uidLastSave="{00000000-0000-0000-0000-000000000000}"/>
  <bookViews>
    <workbookView xWindow="-108" yWindow="-108" windowWidth="23256" windowHeight="12456" tabRatio="849" activeTab="3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C29" i="18" l="1"/>
  <c r="D28" i="18"/>
  <c r="E28" i="18"/>
  <c r="E29" i="18"/>
  <c r="E30" i="18"/>
  <c r="F29" i="18"/>
  <c r="F28" i="18"/>
  <c r="F30" i="18"/>
  <c r="D29" i="18"/>
  <c r="D30" i="18"/>
  <c r="C30" i="18"/>
  <c r="C28" i="18"/>
  <c r="B30" i="18"/>
  <c r="B29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E27" i="18"/>
  <c r="E26" i="18"/>
  <c r="E25" i="18"/>
  <c r="E24" i="18"/>
  <c r="E23" i="18"/>
  <c r="E22" i="18"/>
  <c r="E21" i="18"/>
  <c r="E20" i="18"/>
  <c r="E19" i="18"/>
  <c r="E18" i="18"/>
  <c r="E17" i="18"/>
  <c r="E16" i="18"/>
  <c r="E15" i="18"/>
  <c r="E14" i="18"/>
  <c r="E13" i="18"/>
  <c r="E12" i="18"/>
  <c r="E11" i="18"/>
  <c r="E10" i="18"/>
  <c r="E9" i="18"/>
  <c r="E8" i="18"/>
  <c r="E7" i="18"/>
  <c r="E6" i="18"/>
  <c r="F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B7" i="18"/>
  <c r="C7" i="18"/>
  <c r="B8" i="18"/>
  <c r="C8" i="18"/>
  <c r="B9" i="18"/>
  <c r="C9" i="18"/>
  <c r="B10" i="18"/>
  <c r="C10" i="18"/>
  <c r="B11" i="18"/>
  <c r="C11" i="18"/>
  <c r="B12" i="18"/>
  <c r="C12" i="18"/>
  <c r="B13" i="18"/>
  <c r="C13" i="18"/>
  <c r="B14" i="18"/>
  <c r="C14" i="18"/>
  <c r="B15" i="18"/>
  <c r="C15" i="18"/>
  <c r="B16" i="18"/>
  <c r="C16" i="18"/>
  <c r="B17" i="18"/>
  <c r="C17" i="18"/>
  <c r="B18" i="18"/>
  <c r="C18" i="18"/>
  <c r="B19" i="18"/>
  <c r="C19" i="18"/>
  <c r="B20" i="18"/>
  <c r="C20" i="18"/>
  <c r="B21" i="18"/>
  <c r="C21" i="18"/>
  <c r="B22" i="18"/>
  <c r="C22" i="18"/>
  <c r="B23" i="18"/>
  <c r="C23" i="18"/>
  <c r="B24" i="18"/>
  <c r="C24" i="18"/>
  <c r="B25" i="18"/>
  <c r="C25" i="18"/>
  <c r="B26" i="18"/>
  <c r="C26" i="18"/>
  <c r="B27" i="18"/>
  <c r="C27" i="18"/>
  <c r="C6" i="18"/>
  <c r="B6" i="18"/>
  <c r="C22" i="19"/>
  <c r="D35" i="20"/>
  <c r="F35" i="20" s="1"/>
  <c r="D34" i="20"/>
  <c r="F34" i="20" s="1"/>
  <c r="D33" i="20"/>
  <c r="F33" i="20" s="1"/>
  <c r="D32" i="20"/>
  <c r="F32" i="20" s="1"/>
  <c r="D31" i="20"/>
  <c r="F31" i="20" s="1"/>
  <c r="D30" i="20"/>
  <c r="F30" i="20" s="1"/>
  <c r="D29" i="20"/>
  <c r="F29" i="20" s="1"/>
  <c r="D28" i="20"/>
  <c r="F28" i="20" s="1"/>
  <c r="D27" i="20"/>
  <c r="F27" i="20" s="1"/>
  <c r="D26" i="20"/>
  <c r="F26" i="20" s="1"/>
  <c r="D25" i="20"/>
  <c r="F25" i="20" s="1"/>
  <c r="D24" i="20"/>
  <c r="F24" i="20" s="1"/>
  <c r="D23" i="20"/>
  <c r="F23" i="20" s="1"/>
  <c r="B35" i="20"/>
  <c r="E35" i="20" s="1"/>
  <c r="B34" i="20"/>
  <c r="E34" i="20" s="1"/>
  <c r="G34" i="20" s="1"/>
  <c r="B33" i="20"/>
  <c r="E33" i="20" s="1"/>
  <c r="G33" i="20" s="1"/>
  <c r="B32" i="20"/>
  <c r="E32" i="20" s="1"/>
  <c r="G32" i="20" s="1"/>
  <c r="B31" i="20"/>
  <c r="E31" i="20" s="1"/>
  <c r="B30" i="20"/>
  <c r="E30" i="20" s="1"/>
  <c r="G30" i="20" s="1"/>
  <c r="B29" i="20"/>
  <c r="E29" i="20" s="1"/>
  <c r="B28" i="20"/>
  <c r="E28" i="20" s="1"/>
  <c r="G28" i="20" s="1"/>
  <c r="B27" i="20"/>
  <c r="E27" i="20" s="1"/>
  <c r="B26" i="20"/>
  <c r="E26" i="20" s="1"/>
  <c r="G26" i="20" s="1"/>
  <c r="B25" i="20"/>
  <c r="E25" i="20" s="1"/>
  <c r="G25" i="20" s="1"/>
  <c r="B24" i="20"/>
  <c r="E24" i="20" s="1"/>
  <c r="G24" i="20" s="1"/>
  <c r="B23" i="20"/>
  <c r="E23" i="20" s="1"/>
  <c r="D5" i="15"/>
  <c r="G27" i="20" l="1"/>
  <c r="G35" i="20"/>
  <c r="G29" i="20"/>
  <c r="G23" i="20"/>
  <c r="G31" i="20"/>
</calcChain>
</file>

<file path=xl/sharedStrings.xml><?xml version="1.0" encoding="utf-8"?>
<sst xmlns="http://schemas.openxmlformats.org/spreadsheetml/2006/main" count="414" uniqueCount="190">
  <si>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</si>
  <si>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</si>
  <si>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</si>
  <si>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</si>
  <si>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</si>
  <si>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</si>
  <si>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</si>
  <si>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</si>
  <si>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</si>
  <si>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</si>
  <si>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</si>
  <si>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</si>
  <si>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</si>
  <si>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</si>
  <si>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</si>
  <si>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</si>
  <si>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</si>
  <si>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</si>
  <si>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</si>
  <si>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</si>
  <si>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</si>
  <si>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</si>
  <si>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</si>
  <si>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</si>
  <si>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</si>
  <si>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</si>
  <si>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</si>
  <si>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</si>
  <si>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</si>
  <si>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</si>
  <si>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</si>
  <si>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</si>
  <si>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</si>
  <si>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</si>
  <si>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</si>
  <si>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</si>
  <si>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</si>
  <si>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</si>
  <si>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</si>
  <si>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</si>
  <si>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</si>
  <si>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</si>
  <si>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</si>
  <si>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</si>
  <si>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</si>
  <si>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</si>
  <si>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</si>
  <si>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</si>
  <si>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</si>
  <si>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</si>
  <si>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</si>
  <si>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</si>
  <si>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</si>
  <si>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</si>
  <si>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</si>
  <si>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</si>
  <si>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</si>
  <si>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</si>
  <si>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</si>
  <si>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</si>
  <si>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</si>
  <si>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</si>
  <si>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</si>
  <si>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</si>
  <si>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</si>
  <si>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</si>
  <si>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</si>
  <si>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</si>
  <si>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</si>
  <si>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</si>
  <si>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</si>
  <si>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</si>
  <si>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</si>
  <si>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</si>
  <si>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</si>
  <si>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</si>
  <si>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</si>
  <si>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</si>
  <si>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</si>
  <si>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</si>
  <si>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</si>
  <si>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</si>
  <si>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</si>
  <si>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</si>
  <si>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</si>
  <si>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</si>
  <si>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</si>
  <si>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</si>
  <si>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</si>
  <si>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</si>
  <si>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</si>
  <si>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</si>
  <si>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</si>
  <si>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</si>
  <si>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</si>
  <si>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</si>
  <si>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</si>
  <si>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</si>
  <si>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</si>
  <si>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</si>
  <si>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</si>
  <si>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</si>
  <si>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</si>
  <si>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</si>
  <si>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</si>
  <si>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</si>
  <si>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</si>
  <si>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</si>
  <si>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</si>
  <si>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</si>
  <si>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</si>
  <si>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</si>
  <si>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</si>
  <si>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</si>
  <si>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</si>
  <si>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</si>
  <si>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</si>
  <si>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</si>
  <si>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</si>
  <si>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</si>
  <si>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</si>
  <si>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</si>
  <si>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</si>
  <si>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</si>
  <si>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</si>
  <si>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</si>
  <si>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</si>
  <si>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</si>
  <si>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</si>
  <si>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</si>
  <si>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</si>
  <si>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</si>
  <si>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</si>
  <si>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</si>
  <si>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</si>
  <si>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</si>
  <si>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</si>
  <si>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</si>
  <si>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</si>
  <si>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</si>
  <si>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</si>
  <si>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</si>
  <si>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</si>
  <si>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</si>
  <si>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</si>
  <si>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</si>
  <si>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</si>
  <si>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</si>
  <si>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</si>
  <si>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</si>
  <si>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</si>
  <si>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</si>
  <si>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</si>
  <si>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</si>
  <si>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</si>
  <si>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</si>
  <si>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</si>
  <si>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</si>
  <si>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</si>
  <si>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</si>
  <si>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</si>
  <si>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</si>
  <si>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</si>
  <si>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</si>
  <si>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</si>
  <si>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</si>
  <si>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</si>
  <si>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</si>
  <si>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</si>
  <si>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</si>
  <si>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</si>
  <si>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</si>
  <si>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</si>
  <si>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</si>
  <si>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</si>
  <si>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</si>
  <si>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</si>
  <si>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SUMIF(Dataset!H1:H40,"&gt;20")</t>
  </si>
  <si>
    <t xml:space="preserve">We can use text to cloumns </t>
  </si>
  <si>
    <t>Copy all the values in coloumn1</t>
  </si>
  <si>
    <t>open text to columns window and use delimit with text separater as "-"</t>
  </si>
  <si>
    <t>we can repleace #NA value by 20 , And ues sum formula</t>
  </si>
  <si>
    <t>1) Use Replace Function , 2) SUM(C12:C21)</t>
  </si>
  <si>
    <t>Row Number</t>
  </si>
  <si>
    <t>Column Number</t>
  </si>
  <si>
    <t>Result Value</t>
  </si>
  <si>
    <t>Index &amp; Match Function</t>
  </si>
  <si>
    <t>Lookup the names against ID</t>
  </si>
  <si>
    <t>Indentifying Row &amp; Coloumn number</t>
  </si>
  <si>
    <t>Picking up specific value using INDEX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</si>
</sst>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yyyy\-mm\-dd"/>
  </numFmts>
  <fonts count="17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8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4" fillId="0" borderId="0" xfId="0" applyFont="1"/>
    <xf numFmtId="0" fontId="15" fillId="0" borderId="0" xfId="0" applyFont="1"/>
    <xf numFmtId="0" fontId="16" fillId="4" borderId="0" xfId="1" applyFont="1" applyFill="1" applyAlignment="1">
      <alignment horizontal="center"/>
    </xf>
    <xf numFmtId="0" fontId="13" fillId="0" borderId="0" xfId="0" applyFont="1"/>
    <xf numFmtId="166" fontId="7" fillId="0" borderId="0" xfId="0" applyNumberFormat="1" applyFont="1"/>
    <xf numFmtId="166" fontId="3" fillId="0" borderId="0" xfId="0" applyNumberFormat="1" applyFont="1"/>
    <xf numFmtId="0" fontId="3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7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4" t="s">
        <v>171</v>
      </c>
      <c r="B9" s="25" t="s">
        <v>169</v>
      </c>
    </row>
    <row r="10" spans="1:3" x14ac:dyDescent="0.3">
      <c r="A10" s="33" t="s">
        <v>172</v>
      </c>
      <c r="B10" s="35">
        <v>25</v>
      </c>
    </row>
    <row r="11" spans="1:3" x14ac:dyDescent="0.3">
      <c r="A11" s="33" t="s">
        <v>55</v>
      </c>
      <c r="B11" s="35">
        <v>30</v>
      </c>
    </row>
    <row r="12" spans="1:3" x14ac:dyDescent="0.3">
      <c r="A12" s="33" t="s">
        <v>56</v>
      </c>
      <c r="B12" s="35">
        <v>10</v>
      </c>
    </row>
    <row r="13" spans="1:3" x14ac:dyDescent="0.3">
      <c r="A13" s="33" t="s">
        <v>85</v>
      </c>
      <c r="B13" s="35">
        <v>20</v>
      </c>
    </row>
    <row r="14" spans="1:3" x14ac:dyDescent="0.3">
      <c r="A14" s="33" t="s">
        <v>98</v>
      </c>
      <c r="B14" s="35">
        <v>40</v>
      </c>
    </row>
    <row r="15" spans="1:3" x14ac:dyDescent="0.3">
      <c r="A15" s="36" t="s">
        <v>170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topLeftCell="M1" zoomScale="102" zoomScaleNormal="100" workbookViewId="0">
      <pane ySplit="1" topLeftCell="A2" activePane="bottomLeft" state="frozen"/>
      <selection activeCell="E1" sqref="E1"/>
      <selection pane="bottomLeft" sqref="A1:V1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3" customWidth="1"/>
    <col min="5" max="5" width="9.109375" style="1" bestFit="1" customWidth="1"/>
    <col min="6" max="6" width="10.44140625" style="23" bestFit="1" customWidth="1"/>
    <col min="7" max="9" width="12.77734375" style="1" bestFit="1" customWidth="1"/>
    <col min="10" max="12" width="13" style="1" bestFit="1" customWidth="1"/>
    <col min="13" max="15" width="14.1093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44140625" style="43" bestFit="1" customWidth="1"/>
    <col min="25" max="16384" width="9" style="1"/>
  </cols>
  <sheetData>
    <row r="1" spans="1:24" s="3" customFormat="1" ht="14.7" customHeight="1" x14ac:dyDescent="0.3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42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3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3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3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3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3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3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3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3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3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3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3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3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3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3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3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3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3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3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3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3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3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3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3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3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3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3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3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3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3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3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3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3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3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3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3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3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3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3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3">
        <v>45162</v>
      </c>
    </row>
  </sheetData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A1:X40">
    <cfRule type="cellIs" dxfId="1" priority="1" operator="equal">
      <formula>0</formula>
    </cfRule>
    <cfRule type="cellIs" dxfId="0" priority="2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6" sqref="C6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4414062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">
      <c r="A2" s="2"/>
      <c r="B2" s="5" t="s">
        <v>160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1" t="s">
        <v>177</v>
      </c>
      <c r="D5" s="1">
        <f>SUMIF(Dataset!H1:H40,"&gt;20")</f>
        <v>1473.0000000000002</v>
      </c>
      <c r="E5" s="1">
        <v>10</v>
      </c>
    </row>
    <row r="6" spans="1:5" x14ac:dyDescent="0.3">
      <c r="A6" s="6">
        <v>4</v>
      </c>
      <c r="B6" s="2" t="s">
        <v>106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abSelected="1" zoomScaleNormal="100" workbookViewId="0">
      <selection activeCell="F7" sqref="F7"/>
    </sheetView>
  </sheetViews>
  <sheetFormatPr defaultColWidth="11" defaultRowHeight="13.8" x14ac:dyDescent="0.3"/>
  <cols>
    <col min="1" max="1" width="18.4414062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39" customFormat="1" ht="21" x14ac:dyDescent="0.4">
      <c r="A1" s="40" t="s">
        <v>55</v>
      </c>
      <c r="B1" s="39" t="s">
        <v>164</v>
      </c>
    </row>
    <row r="2" spans="1:7" s="39" customFormat="1" ht="21" x14ac:dyDescent="0.4">
      <c r="B2" s="39" t="s">
        <v>161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7" t="s">
        <v>162</v>
      </c>
      <c r="B4" s="1"/>
      <c r="C4" s="1"/>
      <c r="D4" s="1"/>
      <c r="E4" s="1"/>
      <c r="F4" s="1"/>
      <c r="G4" s="1"/>
    </row>
    <row r="5" spans="1:7" ht="14.4" x14ac:dyDescent="0.3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4.4" x14ac:dyDescent="0.3">
      <c r="A6" s="7" t="s">
        <v>40</v>
      </c>
      <c r="B6" s="12">
        <f>VLOOKUP(A6,Dataset!A:M,7,0)</f>
        <v>2.7</v>
      </c>
      <c r="C6" s="12">
        <f>VLOOKUP(A6,Dataset!A:W,14,0)</f>
        <v>7.6</v>
      </c>
      <c r="D6" s="12">
        <f>VLOOKUP(A6,Dataset!A:R,18)</f>
        <v>90.9</v>
      </c>
      <c r="E6" s="12">
        <f>VLOOKUP(A6,Dataset!A:W,20,0)</f>
        <v>8.9</v>
      </c>
      <c r="F6" s="8">
        <f>VLOOKUP(A6,Dataset!A:V,22,0)</f>
        <v>4.2</v>
      </c>
    </row>
    <row r="7" spans="1:7" ht="14.4" x14ac:dyDescent="0.3">
      <c r="A7" s="7" t="s">
        <v>4</v>
      </c>
      <c r="B7" s="12">
        <f>VLOOKUP(A7,Dataset!A:M,7,0)</f>
        <v>2.7</v>
      </c>
      <c r="C7" s="12">
        <f>VLOOKUP(A7,Dataset!A:W,14,0)</f>
        <v>7.6</v>
      </c>
      <c r="D7" s="12">
        <f>VLOOKUP(A7,Dataset!A:R,18)</f>
        <v>5.8</v>
      </c>
      <c r="E7" s="12">
        <f>VLOOKUP(A7,Dataset!A:W,20,0)</f>
        <v>8.9</v>
      </c>
      <c r="F7" s="8">
        <f>VLOOKUP(A7,Dataset!A:V,22,0)</f>
        <v>4.2</v>
      </c>
    </row>
    <row r="8" spans="1:7" ht="14.4" x14ac:dyDescent="0.3">
      <c r="A8" s="7" t="s">
        <v>7</v>
      </c>
      <c r="B8" s="12">
        <f>VLOOKUP(A8,Dataset!A:M,7,0)</f>
        <v>3.6</v>
      </c>
      <c r="C8" s="12">
        <f>VLOOKUP(A8,Dataset!A:W,14,0)</f>
        <v>11.1</v>
      </c>
      <c r="D8" s="12">
        <f>VLOOKUP(A8,Dataset!A:R,18)</f>
        <v>5.8</v>
      </c>
      <c r="E8" s="12">
        <f>VLOOKUP(A8,Dataset!A:W,20,0)</f>
        <v>12.2</v>
      </c>
      <c r="F8" s="8">
        <f>VLOOKUP(A8,Dataset!A:V,22,0)</f>
        <v>5.8</v>
      </c>
    </row>
    <row r="9" spans="1:7" ht="14.4" x14ac:dyDescent="0.3">
      <c r="A9" s="7" t="s">
        <v>8</v>
      </c>
      <c r="B9" s="12">
        <f>VLOOKUP(A9,Dataset!A:M,7,0)</f>
        <v>4.9000000000000004</v>
      </c>
      <c r="C9" s="12">
        <f>VLOOKUP(A9,Dataset!A:W,14,0)</f>
        <v>13.3</v>
      </c>
      <c r="D9" s="12">
        <f>VLOOKUP(A9,Dataset!A:R,18)</f>
        <v>86.4</v>
      </c>
      <c r="E9" s="12">
        <f>VLOOKUP(A9,Dataset!A:W,20,0)</f>
        <v>17</v>
      </c>
      <c r="F9" s="8">
        <f>VLOOKUP(A9,Dataset!A:V,22,0)</f>
        <v>8.1</v>
      </c>
    </row>
    <row r="10" spans="1:7" ht="14.4" x14ac:dyDescent="0.3">
      <c r="A10" s="7" t="s">
        <v>11</v>
      </c>
      <c r="B10" s="12">
        <f>VLOOKUP(A10,Dataset!A:M,7,0)</f>
        <v>9.4</v>
      </c>
      <c r="C10" s="12">
        <f>VLOOKUP(A10,Dataset!A:W,14,0)</f>
        <v>28.3</v>
      </c>
      <c r="D10" s="12">
        <f>VLOOKUP(A10,Dataset!A:R,18)</f>
        <v>16.100000000000001</v>
      </c>
      <c r="E10" s="12">
        <f>VLOOKUP(A10,Dataset!A:W,20,0)</f>
        <v>32.799999999999997</v>
      </c>
      <c r="F10" s="8">
        <f>VLOOKUP(A10,Dataset!A:V,22,0)</f>
        <v>16.100000000000001</v>
      </c>
    </row>
    <row r="11" spans="1:7" ht="14.4" x14ac:dyDescent="0.3">
      <c r="A11" s="7" t="s">
        <v>12</v>
      </c>
      <c r="B11" s="12">
        <f>VLOOKUP(A11,Dataset!A:M,7,0)</f>
        <v>11.6</v>
      </c>
      <c r="C11" s="12">
        <f>VLOOKUP(A11,Dataset!A:W,14,0)</f>
        <v>35.200000000000003</v>
      </c>
      <c r="D11" s="12">
        <f>VLOOKUP(A11,Dataset!A:R,18)</f>
        <v>90.9</v>
      </c>
      <c r="E11" s="12">
        <f>VLOOKUP(A11,Dataset!A:W,20,0)</f>
        <v>43</v>
      </c>
      <c r="F11" s="8">
        <f>VLOOKUP(A11,Dataset!A:V,22,0)</f>
        <v>21.3</v>
      </c>
    </row>
    <row r="12" spans="1:7" ht="14.4" x14ac:dyDescent="0.3">
      <c r="A12" s="7" t="s">
        <v>14</v>
      </c>
      <c r="B12" s="12">
        <f>VLOOKUP(A12,Dataset!A:M,7,0)</f>
        <v>18.399999999999999</v>
      </c>
      <c r="C12" s="12">
        <f>VLOOKUP(A12,Dataset!A:W,14,0)</f>
        <v>55.6</v>
      </c>
      <c r="D12" s="12">
        <f>VLOOKUP(A12,Dataset!A:R,18)</f>
        <v>5.8</v>
      </c>
      <c r="E12" s="12">
        <f>VLOOKUP(A12,Dataset!A:W,20,0)</f>
        <v>67.900000000000006</v>
      </c>
      <c r="F12" s="8">
        <f>VLOOKUP(A12,Dataset!A:V,22,0)</f>
        <v>33.799999999999997</v>
      </c>
    </row>
    <row r="13" spans="1:7" ht="14.4" x14ac:dyDescent="0.3">
      <c r="A13" s="7" t="s">
        <v>15</v>
      </c>
      <c r="B13" s="12">
        <f>VLOOKUP(A13,Dataset!A:M,7,0)</f>
        <v>0</v>
      </c>
      <c r="C13" s="12">
        <f>VLOOKUP(A13,Dataset!A:W,14,0)</f>
        <v>0</v>
      </c>
      <c r="D13" s="12">
        <f>VLOOKUP(A13,Dataset!A:R,18)</f>
        <v>0</v>
      </c>
      <c r="E13" s="12">
        <f>VLOOKUP(A13,Dataset!A:W,20,0)</f>
        <v>0</v>
      </c>
      <c r="F13" s="8">
        <f>VLOOKUP(A13,Dataset!A:V,22,0)</f>
        <v>0</v>
      </c>
    </row>
    <row r="14" spans="1:7" ht="14.4" x14ac:dyDescent="0.3">
      <c r="A14" s="7" t="s">
        <v>16</v>
      </c>
      <c r="B14" s="12">
        <f>VLOOKUP(A14,Dataset!A:M,7,0)</f>
        <v>21.9</v>
      </c>
      <c r="C14" s="12">
        <f>VLOOKUP(A14,Dataset!A:W,14,0)</f>
        <v>61.5</v>
      </c>
      <c r="D14" s="12">
        <f>VLOOKUP(A14,Dataset!A:R,18)</f>
        <v>93.1</v>
      </c>
      <c r="E14" s="12">
        <f>VLOOKUP(A14,Dataset!A:W,20,0)</f>
        <v>76.599999999999994</v>
      </c>
      <c r="F14" s="8">
        <f>VLOOKUP(A14,Dataset!A:V,22,0)</f>
        <v>40.1</v>
      </c>
    </row>
    <row r="15" spans="1:7" ht="14.4" x14ac:dyDescent="0.3">
      <c r="A15" s="7" t="s">
        <v>18</v>
      </c>
      <c r="B15" s="12">
        <f>VLOOKUP(A15,Dataset!A:M,7,0)</f>
        <v>26.8</v>
      </c>
      <c r="C15" s="12">
        <f>VLOOKUP(A15,Dataset!A:W,14,0)</f>
        <v>79.599999999999994</v>
      </c>
      <c r="D15" s="12">
        <f>VLOOKUP(A15,Dataset!A:R,18)</f>
        <v>5.8</v>
      </c>
      <c r="E15" s="12">
        <f>VLOOKUP(A15,Dataset!A:W,20,0)</f>
        <v>96.8</v>
      </c>
      <c r="F15" s="8">
        <f>VLOOKUP(A15,Dataset!A:V,22,0)</f>
        <v>47.9</v>
      </c>
    </row>
    <row r="16" spans="1:7" ht="14.4" x14ac:dyDescent="0.3">
      <c r="A16" s="7" t="s">
        <v>20</v>
      </c>
      <c r="B16" s="12">
        <f>VLOOKUP(A16,Dataset!A:M,7,0)</f>
        <v>28.5</v>
      </c>
      <c r="C16" s="12">
        <f>VLOOKUP(A16,Dataset!A:W,14,0)</f>
        <v>85.4</v>
      </c>
      <c r="D16" s="12">
        <f>VLOOKUP(A16,Dataset!A:R,18)</f>
        <v>53.7</v>
      </c>
      <c r="E16" s="12">
        <f>VLOOKUP(A16,Dataset!A:W,20,0)</f>
        <v>106.1</v>
      </c>
      <c r="F16" s="8">
        <f>VLOOKUP(A16,Dataset!A:V,22,0)</f>
        <v>52.3</v>
      </c>
    </row>
    <row r="17" spans="1:6" ht="14.4" x14ac:dyDescent="0.3">
      <c r="A17" s="7" t="s">
        <v>22</v>
      </c>
      <c r="B17" s="12">
        <f>VLOOKUP(A17,Dataset!A:M,7,0)</f>
        <v>30.7</v>
      </c>
      <c r="C17" s="12">
        <f>VLOOKUP(A17,Dataset!A:W,14,0)</f>
        <v>92.1</v>
      </c>
      <c r="D17" s="12">
        <f>VLOOKUP(A17,Dataset!A:R,18)</f>
        <v>57</v>
      </c>
      <c r="E17" s="12">
        <f>VLOOKUP(A17,Dataset!A:W,20,0)</f>
        <v>115.1</v>
      </c>
      <c r="F17" s="8">
        <f>VLOOKUP(A17,Dataset!A:V,22,0)</f>
        <v>57</v>
      </c>
    </row>
    <row r="18" spans="1:6" ht="14.4" x14ac:dyDescent="0.3">
      <c r="A18" s="7" t="s">
        <v>23</v>
      </c>
      <c r="B18" s="12">
        <f>VLOOKUP(A18,Dataset!A:M,7,0)</f>
        <v>33.799999999999997</v>
      </c>
      <c r="C18" s="12">
        <f>VLOOKUP(A18,Dataset!A:W,14,0)</f>
        <v>101.3</v>
      </c>
      <c r="D18" s="12">
        <f>VLOOKUP(A18,Dataset!A:R,18)</f>
        <v>90.9</v>
      </c>
      <c r="E18" s="12">
        <f>VLOOKUP(A18,Dataset!A:W,20,0)</f>
        <v>124.4</v>
      </c>
      <c r="F18" s="8">
        <f>VLOOKUP(A18,Dataset!A:V,22,0)</f>
        <v>61.4</v>
      </c>
    </row>
    <row r="19" spans="1:6" ht="14.4" x14ac:dyDescent="0.3">
      <c r="A19" s="7" t="s">
        <v>24</v>
      </c>
      <c r="B19" s="12">
        <f>VLOOKUP(A19,Dataset!A:M,7,0)</f>
        <v>34.700000000000003</v>
      </c>
      <c r="C19" s="12">
        <f>VLOOKUP(A19,Dataset!A:W,14,0)</f>
        <v>106.1</v>
      </c>
      <c r="D19" s="12">
        <f>VLOOKUP(A19,Dataset!A:R,18)</f>
        <v>86.4</v>
      </c>
      <c r="E19" s="12">
        <f>VLOOKUP(A19,Dataset!A:W,20,0)</f>
        <v>128.6</v>
      </c>
      <c r="F19" s="8">
        <f>VLOOKUP(A19,Dataset!A:V,22,0)</f>
        <v>63.6</v>
      </c>
    </row>
    <row r="20" spans="1:6" ht="14.4" x14ac:dyDescent="0.3">
      <c r="A20" s="7" t="s">
        <v>28</v>
      </c>
      <c r="B20" s="12">
        <f>VLOOKUP(A20,Dataset!A:M,7,0)</f>
        <v>0</v>
      </c>
      <c r="C20" s="12">
        <f>VLOOKUP(A20,Dataset!A:W,14,0)</f>
        <v>0</v>
      </c>
      <c r="D20" s="12">
        <f>VLOOKUP(A20,Dataset!A:R,18)</f>
        <v>47.9</v>
      </c>
      <c r="E20" s="12">
        <f>VLOOKUP(A20,Dataset!A:W,20,0)</f>
        <v>0</v>
      </c>
      <c r="F20" s="8">
        <f>VLOOKUP(A20,Dataset!A:V,22,0)</f>
        <v>0</v>
      </c>
    </row>
    <row r="21" spans="1:6" ht="14.4" x14ac:dyDescent="0.3">
      <c r="A21" s="7" t="s">
        <v>57</v>
      </c>
      <c r="B21" s="12">
        <f>VLOOKUP(A21,Dataset!A:M,7,0)</f>
        <v>41.3</v>
      </c>
      <c r="C21" s="12">
        <f>VLOOKUP(A21,Dataset!A:W,14,0)</f>
        <v>124.4</v>
      </c>
      <c r="D21" s="12">
        <f>VLOOKUP(A21,Dataset!A:R,18)</f>
        <v>90.9</v>
      </c>
      <c r="E21" s="12">
        <f>VLOOKUP(A21,Dataset!A:W,20,0)</f>
        <v>151.5</v>
      </c>
      <c r="F21" s="8">
        <f>VLOOKUP(A21,Dataset!A:V,22,0)</f>
        <v>75</v>
      </c>
    </row>
    <row r="22" spans="1:6" ht="14.4" x14ac:dyDescent="0.3">
      <c r="A22" s="7" t="s">
        <v>58</v>
      </c>
      <c r="B22" s="12">
        <f>VLOOKUP(A22,Dataset!A:M,7,0)</f>
        <v>-1</v>
      </c>
      <c r="C22" s="12">
        <f>VLOOKUP(A22,Dataset!A:W,14,0)</f>
        <v>-1</v>
      </c>
      <c r="D22" s="12">
        <f>VLOOKUP(A22,Dataset!A:R,18)</f>
        <v>90.9</v>
      </c>
      <c r="E22" s="12">
        <f>VLOOKUP(A22,Dataset!A:W,20,0)</f>
        <v>-1</v>
      </c>
      <c r="F22" s="8">
        <f>VLOOKUP(A22,Dataset!A:V,22,0)</f>
        <v>-1</v>
      </c>
    </row>
    <row r="23" spans="1:6" ht="14.4" x14ac:dyDescent="0.3">
      <c r="A23" s="7" t="s">
        <v>31</v>
      </c>
      <c r="B23" s="12">
        <f>VLOOKUP(A23,Dataset!A:M,7,0)</f>
        <v>45</v>
      </c>
      <c r="C23" s="12">
        <f>VLOOKUP(A23,Dataset!A:W,14,0)</f>
        <v>133.4</v>
      </c>
      <c r="D23" s="12">
        <f>VLOOKUP(A23,Dataset!A:R,18)</f>
        <v>86.4</v>
      </c>
      <c r="E23" s="12">
        <f>VLOOKUP(A23,Dataset!A:W,20,0)</f>
        <v>160.9</v>
      </c>
      <c r="F23" s="8">
        <f>VLOOKUP(A23,Dataset!A:V,22,0)</f>
        <v>79.400000000000006</v>
      </c>
    </row>
    <row r="24" spans="1:6" ht="14.4" x14ac:dyDescent="0.3">
      <c r="A24" s="7" t="s">
        <v>32</v>
      </c>
      <c r="B24" s="12">
        <f>VLOOKUP(A24,Dataset!A:M,7,0)</f>
        <v>-1</v>
      </c>
      <c r="C24" s="12">
        <f>VLOOKUP(A24,Dataset!A:W,14,0)</f>
        <v>-1</v>
      </c>
      <c r="D24" s="12">
        <f>VLOOKUP(A24,Dataset!A:R,18)</f>
        <v>-1</v>
      </c>
      <c r="E24" s="12">
        <f>VLOOKUP(A24,Dataset!A:W,20,0)</f>
        <v>-1</v>
      </c>
      <c r="F24" s="8">
        <f>VLOOKUP(A24,Dataset!A:V,22,0)</f>
        <v>-1</v>
      </c>
    </row>
    <row r="25" spans="1:6" ht="14.4" x14ac:dyDescent="0.3">
      <c r="A25" s="7" t="s">
        <v>34</v>
      </c>
      <c r="B25" s="12">
        <f>VLOOKUP(A25,Dataset!A:M,7,0)</f>
        <v>43.3</v>
      </c>
      <c r="C25" s="12">
        <f>VLOOKUP(A25,Dataset!A:W,14,0)</f>
        <v>128.6</v>
      </c>
      <c r="D25" s="12">
        <f>VLOOKUP(A25,Dataset!A:R,18)</f>
        <v>90.9</v>
      </c>
      <c r="E25" s="12">
        <f>VLOOKUP(A25,Dataset!A:W,20,0)</f>
        <v>160.9</v>
      </c>
      <c r="F25" s="8">
        <f>VLOOKUP(A25,Dataset!A:V,22,0)</f>
        <v>79.400000000000006</v>
      </c>
    </row>
    <row r="26" spans="1:6" ht="14.4" x14ac:dyDescent="0.3">
      <c r="A26" s="7" t="s">
        <v>37</v>
      </c>
      <c r="B26" s="12">
        <f>VLOOKUP(A26,Dataset!A:M,7,0)</f>
        <v>49.1</v>
      </c>
      <c r="C26" s="12">
        <f>VLOOKUP(A26,Dataset!A:W,14,0)</f>
        <v>146.80000000000001</v>
      </c>
      <c r="D26" s="12">
        <f>VLOOKUP(A26,Dataset!A:R,18)</f>
        <v>90.9</v>
      </c>
      <c r="E26" s="12">
        <f>VLOOKUP(A26,Dataset!A:W,20,0)</f>
        <v>183.5</v>
      </c>
      <c r="F26" s="8">
        <f>VLOOKUP(A26,Dataset!A:V,22,0)</f>
        <v>90.9</v>
      </c>
    </row>
    <row r="27" spans="1:6" ht="14.4" x14ac:dyDescent="0.3">
      <c r="A27" s="7" t="s">
        <v>39</v>
      </c>
      <c r="B27" s="12">
        <f>VLOOKUP(A27,Dataset!A:M,7,0)</f>
        <v>51.8</v>
      </c>
      <c r="C27" s="12">
        <f>VLOOKUP(A27,Dataset!A:W,14,0)</f>
        <v>156.4</v>
      </c>
      <c r="D27" s="12">
        <f>VLOOKUP(A27,Dataset!A:R,18)</f>
        <v>93.1</v>
      </c>
      <c r="E27" s="12">
        <f>VLOOKUP(A27,Dataset!A:W,20,0)</f>
        <v>188.1</v>
      </c>
      <c r="F27" s="8">
        <f>VLOOKUP(A27,Dataset!A:V,22,0)</f>
        <v>93.1</v>
      </c>
    </row>
    <row r="28" spans="1:6" ht="14.4" x14ac:dyDescent="0.3">
      <c r="A28" s="18" t="s">
        <v>82</v>
      </c>
      <c r="B28" s="30">
        <f>MIN(B6:B27)</f>
        <v>-1</v>
      </c>
      <c r="C28" s="30">
        <f>MIN(C6:C27)</f>
        <v>-1</v>
      </c>
      <c r="D28" s="30">
        <f>MIN(D6:D27)</f>
        <v>-1</v>
      </c>
      <c r="E28" s="30">
        <f>MIN(E6:E27)</f>
        <v>-1</v>
      </c>
      <c r="F28" s="30">
        <f>MIN(F6:F27)</f>
        <v>-1</v>
      </c>
    </row>
    <row r="29" spans="1:6" ht="14.4" x14ac:dyDescent="0.3">
      <c r="A29" s="18" t="s">
        <v>83</v>
      </c>
      <c r="B29" s="30">
        <f>MAX(B6:B27)</f>
        <v>51.8</v>
      </c>
      <c r="C29" s="30">
        <f>MAX(C6:C27)</f>
        <v>156.4</v>
      </c>
      <c r="D29" s="30">
        <f t="shared" ref="D29:F29" si="0">MAX(D6:D27)</f>
        <v>93.1</v>
      </c>
      <c r="E29" s="30">
        <f>MAX(E6:E27)</f>
        <v>188.1</v>
      </c>
      <c r="F29" s="30">
        <f>MAX(F6:F27)</f>
        <v>93.1</v>
      </c>
    </row>
    <row r="30" spans="1:6" ht="14.4" x14ac:dyDescent="0.3">
      <c r="A30" s="18" t="s">
        <v>84</v>
      </c>
      <c r="B30" s="30">
        <f>AVERAGE(B6:B27)</f>
        <v>20.827272727272728</v>
      </c>
      <c r="C30" s="30">
        <f>AVERAGE(C6:C27)</f>
        <v>62.377272727272725</v>
      </c>
      <c r="D30" s="30">
        <f t="shared" ref="D30:F30" si="1">AVERAGE(D6:D27)</f>
        <v>58.118181818181817</v>
      </c>
      <c r="E30" s="30">
        <f>AVERAGE(E6:E27)</f>
        <v>76.418181818181822</v>
      </c>
      <c r="F30" s="30">
        <f>AVERAGE(F6:F27)</f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B8" sqref="B8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39" customFormat="1" ht="21" x14ac:dyDescent="0.4">
      <c r="A1" s="40" t="s">
        <v>56</v>
      </c>
      <c r="B1" s="39" t="s">
        <v>174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151</v>
      </c>
    </row>
    <row r="5" spans="1:10" ht="18" x14ac:dyDescent="0.35">
      <c r="A5" s="41" t="s">
        <v>53</v>
      </c>
      <c r="B5" s="38" t="s">
        <v>178</v>
      </c>
    </row>
    <row r="6" spans="1:10" ht="18" x14ac:dyDescent="0.35">
      <c r="A6" s="41" t="s">
        <v>153</v>
      </c>
      <c r="B6" s="38" t="s">
        <v>179</v>
      </c>
    </row>
    <row r="7" spans="1:10" ht="18" x14ac:dyDescent="0.35">
      <c r="A7" s="41"/>
      <c r="B7" s="38" t="s">
        <v>180</v>
      </c>
    </row>
    <row r="9" spans="1:10" ht="23.4" x14ac:dyDescent="0.45">
      <c r="A9" s="17" t="s">
        <v>165</v>
      </c>
      <c r="I9" s="2"/>
      <c r="J9" s="2"/>
    </row>
    <row r="10" spans="1:10" x14ac:dyDescent="0.3">
      <c r="A10" s="32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3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4" x14ac:dyDescent="0.45">
      <c r="A14" s="17" t="s">
        <v>162</v>
      </c>
    </row>
    <row r="15" spans="1:10" x14ac:dyDescent="0.3">
      <c r="A15" s="14" t="s">
        <v>103</v>
      </c>
      <c r="B15" s="16" t="s">
        <v>49</v>
      </c>
      <c r="C15" s="15" t="s">
        <v>50</v>
      </c>
      <c r="D15" s="16" t="s">
        <v>51</v>
      </c>
      <c r="E15" s="15" t="s">
        <v>52</v>
      </c>
      <c r="F15" s="16" t="s">
        <v>54</v>
      </c>
    </row>
    <row r="16" spans="1:10" x14ac:dyDescent="0.3">
      <c r="A16" s="7" t="s">
        <v>121</v>
      </c>
      <c r="B16" s="7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3">
      <c r="A17" s="7" t="s">
        <v>122</v>
      </c>
      <c r="B17" s="7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3">
      <c r="A18" s="7" t="s">
        <v>123</v>
      </c>
      <c r="B18" s="7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3">
      <c r="A19" s="7" t="s">
        <v>124</v>
      </c>
      <c r="B19" s="7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3">
      <c r="A20" s="7" t="s">
        <v>125</v>
      </c>
      <c r="B20" s="7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3">
      <c r="A21" s="7" t="s">
        <v>126</v>
      </c>
      <c r="B21" s="7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3">
      <c r="A22" s="7" t="s">
        <v>127</v>
      </c>
      <c r="B22" s="7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3">
      <c r="A23" s="7" t="s">
        <v>128</v>
      </c>
      <c r="B23" s="7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3">
      <c r="A24" s="7" t="s">
        <v>129</v>
      </c>
      <c r="B24" s="7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3">
      <c r="A25" s="7" t="s">
        <v>130</v>
      </c>
      <c r="B25" s="7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3">
      <c r="A26" s="7" t="s">
        <v>131</v>
      </c>
      <c r="B26" s="7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3">
      <c r="A27" s="7" t="s">
        <v>132</v>
      </c>
      <c r="B27" s="7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3">
      <c r="A28" s="7" t="s">
        <v>133</v>
      </c>
      <c r="B28" s="7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3">
      <c r="A29" s="7" t="s">
        <v>134</v>
      </c>
      <c r="B29" s="7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3">
      <c r="A30" s="7" t="s">
        <v>135</v>
      </c>
      <c r="B30" s="7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3">
      <c r="A31" s="7" t="s">
        <v>136</v>
      </c>
      <c r="B31" s="7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3">
      <c r="A32" s="7" t="s">
        <v>137</v>
      </c>
      <c r="B32" s="7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3">
      <c r="A33" s="7" t="s">
        <v>138</v>
      </c>
      <c r="B33" s="7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3">
      <c r="A34" s="7" t="s">
        <v>139</v>
      </c>
      <c r="B34" s="7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3">
      <c r="A35" s="7" t="s">
        <v>140</v>
      </c>
      <c r="B35" s="7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3">
      <c r="A36" s="7" t="s">
        <v>141</v>
      </c>
      <c r="B36" s="7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3">
      <c r="A37" s="7" t="s">
        <v>142</v>
      </c>
      <c r="B37" s="7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3">
      <c r="A38" s="7" t="s">
        <v>143</v>
      </c>
      <c r="B38" s="7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3">
      <c r="A39" s="7" t="s">
        <v>144</v>
      </c>
      <c r="B39" s="7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3">
      <c r="A40" s="7" t="s">
        <v>145</v>
      </c>
      <c r="B40" s="7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3">
      <c r="A41" s="7" t="s">
        <v>146</v>
      </c>
      <c r="B41" s="7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3">
      <c r="A42" s="7" t="s">
        <v>147</v>
      </c>
      <c r="B42" s="7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3">
      <c r="A43" s="7" t="s">
        <v>148</v>
      </c>
      <c r="B43" s="7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3">
      <c r="A44" s="7" t="s">
        <v>149</v>
      </c>
      <c r="B44" s="7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3">
      <c r="A45" s="7" t="s">
        <v>150</v>
      </c>
      <c r="B45" s="7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3">
      <c r="A46" s="7" t="s">
        <v>112</v>
      </c>
      <c r="B46" s="7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3">
      <c r="A47" s="7" t="s">
        <v>113</v>
      </c>
      <c r="B47" s="7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3">
      <c r="A48" s="7" t="s">
        <v>114</v>
      </c>
      <c r="B48" s="7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3">
      <c r="A49" s="7" t="s">
        <v>115</v>
      </c>
      <c r="B49" s="7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3">
      <c r="A50" s="7" t="s">
        <v>116</v>
      </c>
      <c r="B50" s="7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3">
      <c r="A51" s="7" t="s">
        <v>117</v>
      </c>
      <c r="B51" s="7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3">
      <c r="A52" s="7" t="s">
        <v>118</v>
      </c>
      <c r="B52" s="7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3">
      <c r="A53" s="7" t="s">
        <v>119</v>
      </c>
      <c r="B53" s="7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3">
      <c r="A54" s="9" t="s">
        <v>120</v>
      </c>
      <c r="B54" s="9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E9" sqref="E9"/>
    </sheetView>
  </sheetViews>
  <sheetFormatPr defaultColWidth="11" defaultRowHeight="13.8" x14ac:dyDescent="0.3"/>
  <cols>
    <col min="1" max="1" width="28.109375" style="2" bestFit="1" customWidth="1"/>
    <col min="2" max="2" width="17.77734375" style="2" bestFit="1" customWidth="1"/>
    <col min="3" max="3" width="11" style="2" bestFit="1" customWidth="1"/>
    <col min="4" max="4" width="13.109375" style="2" bestFit="1" customWidth="1"/>
    <col min="5" max="5" width="10.77734375" style="2" bestFit="1" customWidth="1"/>
    <col min="6" max="6" width="13.44140625" style="2" bestFit="1" customWidth="1"/>
    <col min="7" max="8" width="14.4414062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7" width="12.44140625" style="2" bestFit="1" customWidth="1"/>
    <col min="18" max="18" width="24.109375" style="2" bestFit="1" customWidth="1"/>
    <col min="19" max="19" width="12.4414062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0" t="s">
        <v>85</v>
      </c>
      <c r="B1" s="39" t="s">
        <v>167</v>
      </c>
    </row>
    <row r="2" spans="1:3" ht="18" x14ac:dyDescent="0.35">
      <c r="B2" s="38" t="s">
        <v>166</v>
      </c>
    </row>
    <row r="5" spans="1:3" ht="14.4" x14ac:dyDescent="0.3">
      <c r="B5" s="1" t="s">
        <v>151</v>
      </c>
    </row>
    <row r="6" spans="1:3" ht="14.4" x14ac:dyDescent="0.3">
      <c r="A6" s="3" t="s">
        <v>53</v>
      </c>
      <c r="B6" s="1" t="s">
        <v>182</v>
      </c>
    </row>
    <row r="7" spans="1:3" ht="14.4" x14ac:dyDescent="0.3">
      <c r="A7" s="3" t="s">
        <v>153</v>
      </c>
      <c r="B7" s="1" t="s">
        <v>181</v>
      </c>
    </row>
    <row r="10" spans="1:3" ht="23.4" x14ac:dyDescent="0.45">
      <c r="A10" s="17" t="s">
        <v>162</v>
      </c>
    </row>
    <row r="11" spans="1:3" ht="14.4" x14ac:dyDescent="0.3">
      <c r="A11" s="31" t="s">
        <v>86</v>
      </c>
      <c r="B11" s="16" t="s">
        <v>87</v>
      </c>
      <c r="C11" s="16" t="s">
        <v>88</v>
      </c>
    </row>
    <row r="12" spans="1:3" ht="14.4" x14ac:dyDescent="0.3">
      <c r="A12" s="31">
        <v>44927</v>
      </c>
      <c r="B12" s="16" t="s">
        <v>59</v>
      </c>
      <c r="C12" s="16">
        <v>200</v>
      </c>
    </row>
    <row r="13" spans="1:3" ht="14.4" x14ac:dyDescent="0.3">
      <c r="A13" s="31">
        <v>44928</v>
      </c>
      <c r="B13" s="16" t="s">
        <v>60</v>
      </c>
      <c r="C13" s="16">
        <v>20</v>
      </c>
    </row>
    <row r="14" spans="1:3" ht="14.4" x14ac:dyDescent="0.3">
      <c r="A14" s="31">
        <v>44929</v>
      </c>
      <c r="B14" s="16" t="s">
        <v>61</v>
      </c>
      <c r="C14" s="16">
        <v>50</v>
      </c>
    </row>
    <row r="15" spans="1:3" ht="14.4" x14ac:dyDescent="0.3">
      <c r="A15" s="31">
        <v>44930</v>
      </c>
      <c r="B15" s="16" t="s">
        <v>62</v>
      </c>
      <c r="C15" s="16">
        <v>20</v>
      </c>
    </row>
    <row r="16" spans="1:3" ht="14.4" x14ac:dyDescent="0.3">
      <c r="A16" s="31">
        <v>44931</v>
      </c>
      <c r="B16" s="16" t="s">
        <v>63</v>
      </c>
      <c r="C16" s="16">
        <v>10</v>
      </c>
    </row>
    <row r="17" spans="1:3" ht="14.4" x14ac:dyDescent="0.3">
      <c r="A17" s="31">
        <v>44932</v>
      </c>
      <c r="B17" s="16" t="s">
        <v>154</v>
      </c>
      <c r="C17" s="16">
        <v>150</v>
      </c>
    </row>
    <row r="18" spans="1:3" ht="14.4" x14ac:dyDescent="0.3">
      <c r="A18" s="31">
        <v>44933</v>
      </c>
      <c r="B18" s="16" t="s">
        <v>155</v>
      </c>
      <c r="C18" s="16">
        <v>80</v>
      </c>
    </row>
    <row r="19" spans="1:3" ht="14.4" x14ac:dyDescent="0.3">
      <c r="A19" s="31">
        <v>44934</v>
      </c>
      <c r="B19" s="16" t="s">
        <v>156</v>
      </c>
      <c r="C19" s="16">
        <v>20</v>
      </c>
    </row>
    <row r="20" spans="1:3" ht="14.4" x14ac:dyDescent="0.3">
      <c r="A20" s="31">
        <v>44935</v>
      </c>
      <c r="B20" s="16" t="s">
        <v>157</v>
      </c>
      <c r="C20" s="16">
        <v>30</v>
      </c>
    </row>
    <row r="21" spans="1:3" ht="14.4" x14ac:dyDescent="0.3">
      <c r="A21" s="31">
        <v>44936</v>
      </c>
      <c r="B21" s="16" t="s">
        <v>158</v>
      </c>
      <c r="C21" s="16">
        <v>20</v>
      </c>
    </row>
    <row r="22" spans="1:3" ht="14.4" x14ac:dyDescent="0.3">
      <c r="B22" s="16" t="s">
        <v>159</v>
      </c>
      <c r="C22" s="24">
        <f>SUM(C12:C21)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opLeftCell="A10" zoomScaleNormal="100" workbookViewId="0">
      <selection activeCell="N35" sqref="N35"/>
    </sheetView>
  </sheetViews>
  <sheetFormatPr defaultColWidth="11" defaultRowHeight="13.8" x14ac:dyDescent="0.3"/>
  <cols>
    <col min="1" max="1" width="9.33203125" style="2" bestFit="1" customWidth="1"/>
    <col min="2" max="2" width="7.33203125" style="2" bestFit="1" customWidth="1"/>
    <col min="3" max="3" width="9.33203125" style="2" bestFit="1" customWidth="1"/>
    <col min="4" max="4" width="7.33203125" style="2" bestFit="1" customWidth="1"/>
    <col min="5" max="5" width="12.6640625" style="2" bestFit="1" customWidth="1"/>
    <col min="6" max="6" width="16" style="2" bestFit="1" customWidth="1"/>
    <col min="7" max="7" width="12.44140625" style="2" bestFit="1" customWidth="1"/>
    <col min="8" max="16384" width="11" style="2"/>
  </cols>
  <sheetData>
    <row r="1" spans="1:14" ht="21" x14ac:dyDescent="0.4">
      <c r="A1" s="40" t="s">
        <v>98</v>
      </c>
      <c r="B1" s="39" t="s">
        <v>175</v>
      </c>
    </row>
    <row r="3" spans="1:14" ht="14.4" x14ac:dyDescent="0.3">
      <c r="B3" s="1" t="s">
        <v>151</v>
      </c>
    </row>
    <row r="4" spans="1:14" ht="18" x14ac:dyDescent="0.35">
      <c r="A4" s="41" t="s">
        <v>53</v>
      </c>
      <c r="B4" s="1"/>
      <c r="F4" s="2" t="s">
        <v>186</v>
      </c>
    </row>
    <row r="5" spans="1:14" ht="18" x14ac:dyDescent="0.35">
      <c r="A5" s="41" t="s">
        <v>153</v>
      </c>
      <c r="B5" s="1"/>
      <c r="F5" s="2" t="s">
        <v>187</v>
      </c>
    </row>
    <row r="6" spans="1:14" ht="14.4" x14ac:dyDescent="0.3">
      <c r="A6" s="3"/>
      <c r="B6" s="1"/>
      <c r="F6" s="2" t="s">
        <v>188</v>
      </c>
    </row>
    <row r="7" spans="1:14" x14ac:dyDescent="0.3">
      <c r="F7" s="2" t="s">
        <v>189</v>
      </c>
    </row>
    <row r="8" spans="1:14" ht="23.4" x14ac:dyDescent="0.45">
      <c r="A8" s="17" t="s">
        <v>162</v>
      </c>
      <c r="M8" s="17" t="s">
        <v>163</v>
      </c>
    </row>
    <row r="9" spans="1:14" ht="14.4" x14ac:dyDescent="0.3">
      <c r="A9" s="46"/>
      <c r="B9" s="46" t="s">
        <v>89</v>
      </c>
      <c r="C9" s="46" t="s">
        <v>90</v>
      </c>
      <c r="D9" s="46" t="s">
        <v>91</v>
      </c>
      <c r="E9" s="46" t="s">
        <v>92</v>
      </c>
      <c r="F9" s="46" t="s">
        <v>93</v>
      </c>
      <c r="G9" s="46" t="s">
        <v>94</v>
      </c>
      <c r="H9" s="46" t="s">
        <v>95</v>
      </c>
      <c r="I9" s="46" t="s">
        <v>96</v>
      </c>
      <c r="J9" s="46" t="s">
        <v>97</v>
      </c>
      <c r="M9" s="47" t="s">
        <v>43</v>
      </c>
      <c r="N9" s="47" t="s">
        <v>99</v>
      </c>
    </row>
    <row r="10" spans="1:14" ht="14.4" x14ac:dyDescent="0.3">
      <c r="A10" s="46" t="s">
        <v>89</v>
      </c>
      <c r="B10" s="45">
        <v>-1</v>
      </c>
      <c r="C10" s="45">
        <v>95</v>
      </c>
      <c r="D10" s="45">
        <v>-1</v>
      </c>
      <c r="E10" s="45">
        <v>185</v>
      </c>
      <c r="F10" s="45">
        <v>255</v>
      </c>
      <c r="G10" s="45">
        <v>305</v>
      </c>
      <c r="H10" s="45">
        <v>415</v>
      </c>
      <c r="I10" s="45">
        <v>480</v>
      </c>
      <c r="J10" s="45">
        <v>525</v>
      </c>
      <c r="M10" s="44">
        <v>10100</v>
      </c>
      <c r="N10" s="44" t="s">
        <v>89</v>
      </c>
    </row>
    <row r="11" spans="1:14" ht="14.4" x14ac:dyDescent="0.3">
      <c r="A11" s="46" t="s">
        <v>90</v>
      </c>
      <c r="B11" s="45">
        <v>95</v>
      </c>
      <c r="C11" s="45">
        <v>-1</v>
      </c>
      <c r="D11" s="45">
        <v>-1</v>
      </c>
      <c r="E11" s="45">
        <v>90</v>
      </c>
      <c r="F11" s="45">
        <v>160</v>
      </c>
      <c r="G11" s="45">
        <v>210</v>
      </c>
      <c r="H11" s="45">
        <v>325</v>
      </c>
      <c r="I11" s="45">
        <v>390</v>
      </c>
      <c r="J11" s="45">
        <v>430</v>
      </c>
      <c r="M11" s="44">
        <v>10102</v>
      </c>
      <c r="N11" s="44" t="s">
        <v>90</v>
      </c>
    </row>
    <row r="12" spans="1:14" ht="14.4" x14ac:dyDescent="0.3">
      <c r="A12" s="46" t="s">
        <v>91</v>
      </c>
      <c r="B12" s="45">
        <v>-1</v>
      </c>
      <c r="C12" s="45">
        <v>-1</v>
      </c>
      <c r="D12" s="45">
        <v>-1</v>
      </c>
      <c r="E12" s="45">
        <v>60</v>
      </c>
      <c r="F12" s="45">
        <v>130</v>
      </c>
      <c r="G12" s="45">
        <v>180</v>
      </c>
      <c r="H12" s="45">
        <v>295</v>
      </c>
      <c r="I12" s="45">
        <v>355</v>
      </c>
      <c r="J12" s="45">
        <v>400</v>
      </c>
      <c r="M12" s="44">
        <v>10104</v>
      </c>
      <c r="N12" s="44" t="s">
        <v>91</v>
      </c>
    </row>
    <row r="13" spans="1:14" ht="14.4" x14ac:dyDescent="0.3">
      <c r="A13" s="46" t="s">
        <v>92</v>
      </c>
      <c r="B13" s="45">
        <v>185</v>
      </c>
      <c r="C13" s="45">
        <v>90</v>
      </c>
      <c r="D13" s="45">
        <v>60</v>
      </c>
      <c r="E13" s="45">
        <v>-1</v>
      </c>
      <c r="F13" s="45">
        <v>70</v>
      </c>
      <c r="G13" s="45">
        <v>120</v>
      </c>
      <c r="H13" s="45">
        <v>235</v>
      </c>
      <c r="I13" s="45">
        <v>300</v>
      </c>
      <c r="J13" s="45">
        <v>340</v>
      </c>
      <c r="M13" s="44">
        <v>10106</v>
      </c>
      <c r="N13" s="44" t="s">
        <v>92</v>
      </c>
    </row>
    <row r="14" spans="1:14" ht="14.4" x14ac:dyDescent="0.3">
      <c r="A14" s="46" t="s">
        <v>93</v>
      </c>
      <c r="B14" s="45">
        <v>255</v>
      </c>
      <c r="C14" s="45">
        <v>160</v>
      </c>
      <c r="D14" s="45">
        <v>130</v>
      </c>
      <c r="E14" s="45">
        <v>70</v>
      </c>
      <c r="F14" s="45">
        <v>-1</v>
      </c>
      <c r="G14" s="45">
        <v>50</v>
      </c>
      <c r="H14" s="45">
        <v>165</v>
      </c>
      <c r="I14" s="45">
        <v>230</v>
      </c>
      <c r="J14" s="45">
        <v>270</v>
      </c>
      <c r="M14" s="44">
        <v>10108</v>
      </c>
      <c r="N14" s="44" t="s">
        <v>93</v>
      </c>
    </row>
    <row r="15" spans="1:14" ht="14.4" x14ac:dyDescent="0.3">
      <c r="A15" s="46" t="s">
        <v>94</v>
      </c>
      <c r="B15" s="45">
        <v>305</v>
      </c>
      <c r="C15" s="45">
        <v>210</v>
      </c>
      <c r="D15" s="45">
        <v>180</v>
      </c>
      <c r="E15" s="45">
        <v>120</v>
      </c>
      <c r="F15" s="45">
        <v>50</v>
      </c>
      <c r="G15" s="45">
        <v>-1</v>
      </c>
      <c r="H15" s="45">
        <v>115</v>
      </c>
      <c r="I15" s="45">
        <v>180</v>
      </c>
      <c r="J15" s="45">
        <v>220</v>
      </c>
      <c r="M15" s="44">
        <v>10110</v>
      </c>
      <c r="N15" s="44" t="s">
        <v>94</v>
      </c>
    </row>
    <row r="16" spans="1:14" ht="14.4" x14ac:dyDescent="0.3">
      <c r="A16" s="46" t="s">
        <v>95</v>
      </c>
      <c r="B16" s="45">
        <v>415</v>
      </c>
      <c r="C16" s="45">
        <v>325</v>
      </c>
      <c r="D16" s="45">
        <v>295</v>
      </c>
      <c r="E16" s="45">
        <v>235</v>
      </c>
      <c r="F16" s="45">
        <v>165</v>
      </c>
      <c r="G16" s="45">
        <v>115</v>
      </c>
      <c r="H16" s="45">
        <v>-1</v>
      </c>
      <c r="I16" s="45">
        <v>65</v>
      </c>
      <c r="J16" s="45">
        <v>105</v>
      </c>
      <c r="M16" s="44">
        <v>10112</v>
      </c>
      <c r="N16" s="44" t="s">
        <v>95</v>
      </c>
    </row>
    <row r="17" spans="1:14" ht="14.4" x14ac:dyDescent="0.3">
      <c r="A17" s="46" t="s">
        <v>96</v>
      </c>
      <c r="B17" s="45">
        <v>480</v>
      </c>
      <c r="C17" s="45">
        <v>390</v>
      </c>
      <c r="D17" s="45">
        <v>355</v>
      </c>
      <c r="E17" s="45">
        <v>300</v>
      </c>
      <c r="F17" s="45">
        <v>230</v>
      </c>
      <c r="G17" s="45">
        <v>180</v>
      </c>
      <c r="H17" s="45">
        <v>65</v>
      </c>
      <c r="I17" s="45">
        <v>-1</v>
      </c>
      <c r="J17" s="45">
        <v>40</v>
      </c>
      <c r="M17" s="44">
        <v>10114</v>
      </c>
      <c r="N17" s="44" t="s">
        <v>96</v>
      </c>
    </row>
    <row r="18" spans="1:14" ht="14.4" x14ac:dyDescent="0.3">
      <c r="A18" s="46" t="s">
        <v>97</v>
      </c>
      <c r="B18" s="45">
        <v>525</v>
      </c>
      <c r="C18" s="45">
        <v>430</v>
      </c>
      <c r="D18" s="45">
        <v>400</v>
      </c>
      <c r="E18" s="45">
        <v>340</v>
      </c>
      <c r="F18" s="45">
        <v>270</v>
      </c>
      <c r="G18" s="45">
        <v>220</v>
      </c>
      <c r="H18" s="45">
        <v>105</v>
      </c>
      <c r="I18" s="45">
        <v>40</v>
      </c>
      <c r="J18" s="45">
        <v>-1</v>
      </c>
      <c r="M18" s="44">
        <v>10116</v>
      </c>
      <c r="N18" s="44" t="s">
        <v>97</v>
      </c>
    </row>
    <row r="21" spans="1:14" ht="23.4" x14ac:dyDescent="0.45">
      <c r="A21" s="17" t="s">
        <v>168</v>
      </c>
    </row>
    <row r="22" spans="1:14" ht="14.4" x14ac:dyDescent="0.3">
      <c r="A22" s="44" t="s">
        <v>100</v>
      </c>
      <c r="B22" s="44" t="s">
        <v>99</v>
      </c>
      <c r="C22" s="44" t="s">
        <v>101</v>
      </c>
      <c r="D22" s="44" t="s">
        <v>99</v>
      </c>
      <c r="E22" s="45" t="s">
        <v>183</v>
      </c>
      <c r="F22" s="45" t="s">
        <v>184</v>
      </c>
      <c r="G22" s="45" t="s">
        <v>185</v>
      </c>
    </row>
    <row r="23" spans="1:14" ht="14.4" x14ac:dyDescent="0.3">
      <c r="A23" s="44">
        <v>10100</v>
      </c>
      <c r="B23" s="45" t="str">
        <f>VLOOKUP($A23,$M$9:$N$18,2,0)</f>
        <v>A</v>
      </c>
      <c r="C23" s="44">
        <v>10102</v>
      </c>
      <c r="D23" s="45" t="str">
        <f>VLOOKUP($C23,$M$9:$N$18,2,0)</f>
        <v>B</v>
      </c>
      <c r="E23" s="45">
        <f>MATCH($B23,$A$10:$A$18,0)</f>
        <v>1</v>
      </c>
      <c r="F23" s="45">
        <f>MATCH($D23,$B$9:$J$9,0)</f>
        <v>2</v>
      </c>
      <c r="G23" s="45">
        <f>INDEX($B$10:$J$18,$E23,$F23)</f>
        <v>95</v>
      </c>
    </row>
    <row r="24" spans="1:14" ht="14.4" x14ac:dyDescent="0.3">
      <c r="A24" s="44">
        <v>10100</v>
      </c>
      <c r="B24" s="45" t="str">
        <f t="shared" ref="B24:B35" si="0">VLOOKUP($A24,$M$9:$N$18,2,0)</f>
        <v>A</v>
      </c>
      <c r="C24" s="44">
        <v>10104</v>
      </c>
      <c r="D24" s="45" t="str">
        <f t="shared" ref="D24:D35" si="1">VLOOKUP($C24,$M$9:$N$18,2,0)</f>
        <v>C</v>
      </c>
      <c r="E24" s="45">
        <f t="shared" ref="E24:E35" si="2">MATCH($B24,$A$10:$A$18,0)</f>
        <v>1</v>
      </c>
      <c r="F24" s="45">
        <f t="shared" ref="F24:F35" si="3">MATCH($D24,$B$9:$J$9,0)</f>
        <v>3</v>
      </c>
      <c r="G24" s="45">
        <f t="shared" ref="G24:G35" si="4">INDEX($B$10:$J$18,$E24,$F24)</f>
        <v>-1</v>
      </c>
    </row>
    <row r="25" spans="1:14" ht="14.4" x14ac:dyDescent="0.3">
      <c r="A25" s="44">
        <v>10108</v>
      </c>
      <c r="B25" s="45" t="str">
        <f t="shared" si="0"/>
        <v>E</v>
      </c>
      <c r="C25" s="44">
        <v>10102</v>
      </c>
      <c r="D25" s="45" t="str">
        <f t="shared" si="1"/>
        <v>B</v>
      </c>
      <c r="E25" s="45">
        <f t="shared" si="2"/>
        <v>5</v>
      </c>
      <c r="F25" s="45">
        <f t="shared" si="3"/>
        <v>2</v>
      </c>
      <c r="G25" s="45">
        <f t="shared" si="4"/>
        <v>160</v>
      </c>
    </row>
    <row r="26" spans="1:14" ht="14.4" x14ac:dyDescent="0.3">
      <c r="A26" s="44">
        <v>10100</v>
      </c>
      <c r="B26" s="45" t="str">
        <f t="shared" si="0"/>
        <v>A</v>
      </c>
      <c r="C26" s="44">
        <v>10106</v>
      </c>
      <c r="D26" s="45" t="str">
        <f t="shared" si="1"/>
        <v>D</v>
      </c>
      <c r="E26" s="45">
        <f t="shared" si="2"/>
        <v>1</v>
      </c>
      <c r="F26" s="45">
        <f t="shared" si="3"/>
        <v>4</v>
      </c>
      <c r="G26" s="45">
        <f t="shared" si="4"/>
        <v>185</v>
      </c>
    </row>
    <row r="27" spans="1:14" ht="14.4" x14ac:dyDescent="0.3">
      <c r="A27" s="44">
        <v>10108</v>
      </c>
      <c r="B27" s="45" t="str">
        <f t="shared" si="0"/>
        <v>E</v>
      </c>
      <c r="C27" s="44">
        <v>10110</v>
      </c>
      <c r="D27" s="45" t="str">
        <f t="shared" si="1"/>
        <v>F</v>
      </c>
      <c r="E27" s="45">
        <f t="shared" si="2"/>
        <v>5</v>
      </c>
      <c r="F27" s="45">
        <f t="shared" si="3"/>
        <v>6</v>
      </c>
      <c r="G27" s="45">
        <f t="shared" si="4"/>
        <v>50</v>
      </c>
    </row>
    <row r="28" spans="1:14" ht="14.4" x14ac:dyDescent="0.3">
      <c r="A28" s="44">
        <v>10102</v>
      </c>
      <c r="B28" s="45" t="str">
        <f t="shared" si="0"/>
        <v>B</v>
      </c>
      <c r="C28" s="44">
        <v>10104</v>
      </c>
      <c r="D28" s="45" t="str">
        <f t="shared" si="1"/>
        <v>C</v>
      </c>
      <c r="E28" s="45">
        <f t="shared" si="2"/>
        <v>2</v>
      </c>
      <c r="F28" s="45">
        <f t="shared" si="3"/>
        <v>3</v>
      </c>
      <c r="G28" s="45">
        <f t="shared" si="4"/>
        <v>-1</v>
      </c>
    </row>
    <row r="29" spans="1:14" ht="14.4" x14ac:dyDescent="0.3">
      <c r="A29" s="44">
        <v>10106</v>
      </c>
      <c r="B29" s="45" t="str">
        <f t="shared" si="0"/>
        <v>D</v>
      </c>
      <c r="C29" s="44">
        <v>10108</v>
      </c>
      <c r="D29" s="45" t="str">
        <f t="shared" si="1"/>
        <v>E</v>
      </c>
      <c r="E29" s="45">
        <f t="shared" si="2"/>
        <v>4</v>
      </c>
      <c r="F29" s="45">
        <f t="shared" si="3"/>
        <v>5</v>
      </c>
      <c r="G29" s="45">
        <f t="shared" si="4"/>
        <v>70</v>
      </c>
    </row>
    <row r="30" spans="1:14" ht="14.4" x14ac:dyDescent="0.3">
      <c r="A30" s="44">
        <v>10102</v>
      </c>
      <c r="B30" s="45" t="str">
        <f t="shared" si="0"/>
        <v>B</v>
      </c>
      <c r="C30" s="44">
        <v>10106</v>
      </c>
      <c r="D30" s="45" t="str">
        <f t="shared" si="1"/>
        <v>D</v>
      </c>
      <c r="E30" s="45">
        <f t="shared" si="2"/>
        <v>2</v>
      </c>
      <c r="F30" s="45">
        <f t="shared" si="3"/>
        <v>4</v>
      </c>
      <c r="G30" s="45">
        <f t="shared" si="4"/>
        <v>90</v>
      </c>
    </row>
    <row r="31" spans="1:14" ht="14.4" x14ac:dyDescent="0.3">
      <c r="A31" s="44">
        <v>10110</v>
      </c>
      <c r="B31" s="45" t="str">
        <f t="shared" si="0"/>
        <v>F</v>
      </c>
      <c r="C31" s="44">
        <v>10114</v>
      </c>
      <c r="D31" s="45" t="str">
        <f t="shared" si="1"/>
        <v>H</v>
      </c>
      <c r="E31" s="45">
        <f t="shared" si="2"/>
        <v>6</v>
      </c>
      <c r="F31" s="45">
        <f t="shared" si="3"/>
        <v>8</v>
      </c>
      <c r="G31" s="45">
        <f t="shared" si="4"/>
        <v>180</v>
      </c>
    </row>
    <row r="32" spans="1:14" ht="14.4" x14ac:dyDescent="0.3">
      <c r="A32" s="44">
        <v>10104</v>
      </c>
      <c r="B32" s="45" t="str">
        <f t="shared" si="0"/>
        <v>C</v>
      </c>
      <c r="C32" s="44">
        <v>10106</v>
      </c>
      <c r="D32" s="45" t="str">
        <f t="shared" si="1"/>
        <v>D</v>
      </c>
      <c r="E32" s="45">
        <f t="shared" si="2"/>
        <v>3</v>
      </c>
      <c r="F32" s="45">
        <f t="shared" si="3"/>
        <v>4</v>
      </c>
      <c r="G32" s="45">
        <f t="shared" si="4"/>
        <v>60</v>
      </c>
    </row>
    <row r="33" spans="1:7" ht="14.4" x14ac:dyDescent="0.3">
      <c r="A33" s="44">
        <v>10110</v>
      </c>
      <c r="B33" s="45" t="str">
        <f t="shared" si="0"/>
        <v>F</v>
      </c>
      <c r="C33" s="44">
        <v>10112</v>
      </c>
      <c r="D33" s="45" t="str">
        <f t="shared" si="1"/>
        <v>G</v>
      </c>
      <c r="E33" s="45">
        <f t="shared" si="2"/>
        <v>6</v>
      </c>
      <c r="F33" s="45">
        <f t="shared" si="3"/>
        <v>7</v>
      </c>
      <c r="G33" s="45">
        <f t="shared" si="4"/>
        <v>115</v>
      </c>
    </row>
    <row r="34" spans="1:7" ht="14.4" x14ac:dyDescent="0.3">
      <c r="A34" s="44">
        <v>10100</v>
      </c>
      <c r="B34" s="45" t="str">
        <f t="shared" si="0"/>
        <v>A</v>
      </c>
      <c r="C34" s="44">
        <v>10114</v>
      </c>
      <c r="D34" s="45" t="str">
        <f t="shared" si="1"/>
        <v>H</v>
      </c>
      <c r="E34" s="45">
        <f t="shared" si="2"/>
        <v>1</v>
      </c>
      <c r="F34" s="45">
        <f t="shared" si="3"/>
        <v>8</v>
      </c>
      <c r="G34" s="45">
        <f t="shared" si="4"/>
        <v>480</v>
      </c>
    </row>
    <row r="35" spans="1:7" ht="14.4" x14ac:dyDescent="0.3">
      <c r="A35" s="44">
        <v>10112</v>
      </c>
      <c r="B35" s="45" t="str">
        <f t="shared" si="0"/>
        <v>G</v>
      </c>
      <c r="C35" s="44">
        <v>10116</v>
      </c>
      <c r="D35" s="45" t="str">
        <f t="shared" si="1"/>
        <v>I</v>
      </c>
      <c r="E35" s="45">
        <f t="shared" si="2"/>
        <v>7</v>
      </c>
      <c r="F35" s="45">
        <f t="shared" si="3"/>
        <v>9</v>
      </c>
      <c r="G35" s="45">
        <f t="shared" si="4"/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lenovo</cp:lastModifiedBy>
  <dcterms:created xsi:type="dcterms:W3CDTF">2015-02-10T17:33:11Z</dcterms:created>
  <dcterms:modified xsi:type="dcterms:W3CDTF">2023-12-12T21:05:56Z</dcterms:modified>
</cp:coreProperties>
</file>